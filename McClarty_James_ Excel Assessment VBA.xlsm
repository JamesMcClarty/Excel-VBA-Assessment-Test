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27795" windowHeight="12600"/>
  </bookViews>
  <sheets>
    <sheet name="Table Data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9" i="1" l="1"/>
</calcChain>
</file>

<file path=xl/comments1.xml><?xml version="1.0" encoding="utf-8"?>
<comments xmlns="http://schemas.openxmlformats.org/spreadsheetml/2006/main">
  <authors>
    <author>James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James:</t>
        </r>
        <r>
          <rPr>
            <sz val="9"/>
            <color indexed="81"/>
            <rFont val="Tahoma"/>
            <family val="2"/>
          </rPr>
          <t xml:space="preserve">
This is a comment
</t>
        </r>
      </text>
    </comment>
  </commentList>
</comments>
</file>

<file path=xl/sharedStrings.xml><?xml version="1.0" encoding="utf-8"?>
<sst xmlns="http://schemas.openxmlformats.org/spreadsheetml/2006/main" count="57" uniqueCount="38">
  <si>
    <t>Client Name</t>
  </si>
  <si>
    <t>Engagement Name</t>
  </si>
  <si>
    <t>Engagement Status</t>
  </si>
  <si>
    <t>Engagement Partner</t>
  </si>
  <si>
    <t>ETD Net Unbilled Inventory</t>
  </si>
  <si>
    <t>Revenue Days</t>
  </si>
  <si>
    <t>Total Expense</t>
  </si>
  <si>
    <t>Total AR</t>
  </si>
  <si>
    <t>Charged Hours</t>
  </si>
  <si>
    <t>Current</t>
  </si>
  <si>
    <t>Planned</t>
  </si>
  <si>
    <t>TER</t>
  </si>
  <si>
    <t>NER</t>
  </si>
  <si>
    <t>SER</t>
  </si>
  <si>
    <t>Margin Amount</t>
  </si>
  <si>
    <t>Margin %</t>
  </si>
  <si>
    <t>RPH</t>
  </si>
  <si>
    <t>Client ABC</t>
  </si>
  <si>
    <t>Americas LEP Remote Booking</t>
  </si>
  <si>
    <t>Closed</t>
  </si>
  <si>
    <t>Smith, Brad</t>
  </si>
  <si>
    <t>B3 MR Standard Rules Ph2</t>
  </si>
  <si>
    <t>Open</t>
  </si>
  <si>
    <t>Baker, Paul</t>
  </si>
  <si>
    <t>Basel 3 Swiss Leverage Ratio</t>
  </si>
  <si>
    <t>Closing</t>
  </si>
  <si>
    <t>Client XYZ</t>
  </si>
  <si>
    <t xml:space="preserve">Basel III ImplementationPhase5 </t>
  </si>
  <si>
    <t>CCAR Core Team and Projection</t>
  </si>
  <si>
    <t>Simon, Alison</t>
  </si>
  <si>
    <t xml:space="preserve">CCAR Core Team Supp Ph 2 </t>
  </si>
  <si>
    <t>Ritterbush, Chris</t>
  </si>
  <si>
    <t xml:space="preserve">CCAR Extension </t>
  </si>
  <si>
    <t>Client 123</t>
  </si>
  <si>
    <t xml:space="preserve">CCAR FR Y-14Q Requirements </t>
  </si>
  <si>
    <t>Sharma, Rakesh</t>
  </si>
  <si>
    <t xml:space="preserve">CCAR Planning and Mobilization </t>
  </si>
  <si>
    <t>CS B3 Tool BAU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</si>
</sst>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/>
  </cellStyleXfs>
  <cellXfs count="18">
    <xf numFmtId="0" fontId="0" fillId="0" borderId="0" xfId="0"/>
    <xf numFmtId="0" fontId="2" fillId="0" borderId="1" xfId="0" applyFont="1" applyFill="1" applyBorder="1" applyAlignment="1" applyProtection="1">
      <alignment horizontal="center" vertical="center" wrapText="1" readingOrder="1"/>
      <protection locked="0"/>
    </xf>
    <xf numFmtId="0" fontId="2" fillId="0" borderId="2" xfId="0" applyFont="1" applyFill="1" applyBorder="1" applyAlignment="1" applyProtection="1">
      <alignment horizontal="center" vertical="center" wrapText="1" readingOrder="1"/>
      <protection locked="0"/>
    </xf>
    <xf numFmtId="164" fontId="2" fillId="0" borderId="2" xfId="0" applyNumberFormat="1" applyFont="1" applyFill="1" applyBorder="1" applyAlignment="1" applyProtection="1">
      <alignment horizontal="center" vertical="center" wrapText="1" readingOrder="1"/>
      <protection locked="0"/>
    </xf>
    <xf numFmtId="0" fontId="2" fillId="0" borderId="3" xfId="0" applyFont="1" applyFill="1" applyBorder="1" applyAlignment="1" applyProtection="1">
      <alignment horizontal="center" vertical="center" wrapText="1" readingOrder="1"/>
      <protection locked="0"/>
    </xf>
    <xf numFmtId="0" fontId="4" fillId="0" borderId="4" xfId="2" applyFont="1" applyFill="1" applyBorder="1" applyAlignment="1" applyProtection="1">
      <alignment vertical="center" wrapText="1" readingOrder="1"/>
      <protection locked="0"/>
    </xf>
    <xf numFmtId="0" fontId="4" fillId="0" borderId="5" xfId="2" applyFont="1" applyFill="1" applyBorder="1" applyAlignment="1" applyProtection="1">
      <alignment vertical="center" wrapText="1" readingOrder="1"/>
      <protection locked="0"/>
    </xf>
    <xf numFmtId="0" fontId="4" fillId="0" borderId="5" xfId="2" applyFont="1" applyFill="1" applyBorder="1" applyAlignment="1" applyProtection="1">
      <alignment horizontal="left" vertical="center" wrapText="1" readingOrder="1"/>
      <protection locked="0"/>
    </xf>
    <xf numFmtId="4" fontId="4" fillId="0" borderId="5" xfId="1" applyNumberFormat="1" applyFont="1" applyFill="1" applyBorder="1" applyAlignment="1" applyProtection="1">
      <alignment horizontal="right" vertical="center" wrapText="1" readingOrder="1"/>
      <protection locked="0"/>
    </xf>
    <xf numFmtId="4" fontId="4" fillId="0" borderId="5" xfId="2" applyNumberFormat="1" applyFont="1" applyFill="1" applyBorder="1" applyAlignment="1" applyProtection="1">
      <alignment horizontal="right" vertical="center" wrapText="1" readingOrder="1"/>
      <protection locked="0"/>
    </xf>
    <xf numFmtId="164" fontId="4" fillId="0" borderId="5" xfId="1" applyNumberFormat="1" applyFont="1" applyFill="1" applyBorder="1" applyAlignment="1" applyProtection="1">
      <alignment horizontal="right" vertical="center" wrapText="1" readingOrder="1"/>
      <protection locked="0"/>
    </xf>
    <xf numFmtId="4" fontId="4" fillId="0" borderId="6" xfId="2" applyNumberFormat="1" applyFont="1" applyFill="1" applyBorder="1" applyAlignment="1" applyProtection="1">
      <alignment horizontal="right" vertical="center" wrapText="1" readingOrder="1"/>
      <protection locked="0"/>
    </xf>
    <xf numFmtId="0" fontId="4" fillId="0" borderId="7" xfId="2" applyFont="1" applyFill="1" applyBorder="1" applyAlignment="1" applyProtection="1">
      <alignment vertical="center" wrapText="1" readingOrder="1"/>
      <protection locked="0"/>
    </xf>
    <xf numFmtId="0" fontId="4" fillId="0" borderId="7" xfId="2" applyFont="1" applyFill="1" applyBorder="1" applyAlignment="1" applyProtection="1">
      <alignment horizontal="left" vertical="center" wrapText="1" readingOrder="1"/>
      <protection locked="0"/>
    </xf>
    <xf numFmtId="4" fontId="4" fillId="0" borderId="7" xfId="1" applyNumberFormat="1" applyFont="1" applyFill="1" applyBorder="1" applyAlignment="1" applyProtection="1">
      <alignment horizontal="right" vertical="center" wrapText="1" readingOrder="1"/>
      <protection locked="0"/>
    </xf>
    <xf numFmtId="4" fontId="4" fillId="0" borderId="7" xfId="2" applyNumberFormat="1" applyFont="1" applyFill="1" applyBorder="1" applyAlignment="1" applyProtection="1">
      <alignment horizontal="right" vertical="center" wrapText="1" readingOrder="1"/>
      <protection locked="0"/>
    </xf>
    <xf numFmtId="164" fontId="4" fillId="0" borderId="7" xfId="1" applyNumberFormat="1" applyFont="1" applyFill="1" applyBorder="1" applyAlignment="1" applyProtection="1">
      <alignment horizontal="right" vertical="center" wrapText="1" readingOrder="1"/>
      <protection locked="0"/>
    </xf>
    <xf numFmtId="4" fontId="4" fillId="0" borderId="8" xfId="2" applyNumberFormat="1" applyFont="1" applyFill="1" applyBorder="1" applyAlignment="1" applyProtection="1">
      <alignment horizontal="right" vertical="center" wrapText="1" readingOrder="1"/>
      <protection locked="0"/>
    </xf>
  </cellXfs>
  <cellStyles count="3">
    <cellStyle name="Comma" xfId="1" builtinId="3"/>
    <cellStyle name="Normal" xfId="0" builtinId="0"/>
    <cellStyle name="Normal 2" xfId="2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#,##0.00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1"/>
      <protection locked="0" hidden="0"/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</xdr:row>
          <xdr:rowOff>57150</xdr:rowOff>
        </xdr:from>
        <xdr:to>
          <xdr:col>1</xdr:col>
          <xdr:colOff>485775</xdr:colOff>
          <xdr:row>13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12</xdr:row>
          <xdr:rowOff>66675</xdr:rowOff>
        </xdr:from>
        <xdr:to>
          <xdr:col>3</xdr:col>
          <xdr:colOff>57150</xdr:colOff>
          <xdr:row>13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12</xdr:row>
          <xdr:rowOff>66675</xdr:rowOff>
        </xdr:from>
        <xdr:to>
          <xdr:col>5</xdr:col>
          <xdr:colOff>419100</xdr:colOff>
          <xdr:row>13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Engagement Name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DataTable" displayName="DataTable" ref="A1:Q11" totalsRowShown="0" headerRowDxfId="21" dataDxfId="19" headerRowBorderDxfId="20" tableBorderDxfId="18" totalsRowBorderDxfId="17">
  <autoFilter ref="A1:Q11"/>
  <tableColumns count="17">
    <tableColumn id="1" name="Client Name" dataDxfId="16" dataCellStyle="Normal 2"/>
    <tableColumn id="2" name="Engagement Name" dataDxfId="15" dataCellStyle="Normal 2"/>
    <tableColumn id="3" name="Engagement Status" dataDxfId="14" dataCellStyle="Normal 2"/>
    <tableColumn id="4" name="Engagement Partner" dataDxfId="13" dataCellStyle="Normal 2"/>
    <tableColumn id="5" name="ETD Net Unbilled Inventory" dataDxfId="12" dataCellStyle="Comma"/>
    <tableColumn id="6" name="Revenue Days" dataDxfId="11" dataCellStyle="Normal 2"/>
    <tableColumn id="7" name="Total Expense" dataDxfId="10" dataCellStyle="Comma"/>
    <tableColumn id="8" name="Total AR" dataDxfId="9" dataCellStyle="Normal 2"/>
    <tableColumn id="9" name="Charged Hours" dataDxfId="8" dataCellStyle="Normal 2"/>
    <tableColumn id="10" name="Current" dataDxfId="7" dataCellStyle="Normal 2"/>
    <tableColumn id="11" name="Planned" dataDxfId="6" dataCellStyle="Normal 2"/>
    <tableColumn id="12" name="TER" dataDxfId="5" dataCellStyle="Comma"/>
    <tableColumn id="13" name="NER" dataDxfId="4" dataCellStyle="Comma"/>
    <tableColumn id="14" name="SER" dataDxfId="3" dataCellStyle="Comma"/>
    <tableColumn id="15" name="Margin Amount" dataDxfId="2" dataCellStyle="Comma"/>
    <tableColumn id="16" name="Margin %" dataDxfId="1" dataCellStyle="Normal 2"/>
    <tableColumn id="17" name="RPH" dataDxfId="0" dataCellStyle="Normal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1"/>
  <sheetViews>
    <sheetView tabSelected="1" workbookViewId="0">
      <selection activeCell="E21" sqref="E21"/>
    </sheetView>
  </sheetViews>
  <sheetFormatPr defaultRowHeight="15" x14ac:dyDescent="0.25"/>
  <cols>
    <col min="1" max="20" width="15.7109375" customWidth="1"/>
  </cols>
  <sheetData>
    <row r="1" spans="1:17" ht="33.75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4" t="s">
        <v>16</v>
      </c>
    </row>
    <row r="2" spans="1:17" ht="33.75" x14ac:dyDescent="0.25">
      <c r="A2" s="5" t="s">
        <v>17</v>
      </c>
      <c r="B2" s="6" t="s">
        <v>18</v>
      </c>
      <c r="C2" s="7" t="s">
        <v>19</v>
      </c>
      <c r="D2" s="7" t="s">
        <v>20</v>
      </c>
      <c r="E2" s="8">
        <v>0</v>
      </c>
      <c r="F2" s="9">
        <v>0</v>
      </c>
      <c r="G2" s="10">
        <v>2848.27</v>
      </c>
      <c r="H2" s="9">
        <v>0</v>
      </c>
      <c r="I2" s="9">
        <v>1907.5</v>
      </c>
      <c r="J2" s="9">
        <v>24.4</v>
      </c>
      <c r="K2" s="9">
        <v>28</v>
      </c>
      <c r="L2" s="8">
        <v>374018</v>
      </c>
      <c r="M2" s="8">
        <v>371169.73</v>
      </c>
      <c r="N2" s="8">
        <v>1527421.5</v>
      </c>
      <c r="O2" s="8">
        <v>93727.53</v>
      </c>
      <c r="P2" s="9">
        <v>25.2519325862052</v>
      </c>
      <c r="Q2" s="11">
        <v>194.58439318479699</v>
      </c>
    </row>
    <row r="3" spans="1:17" ht="22.5" x14ac:dyDescent="0.25">
      <c r="A3" s="5" t="s">
        <v>17</v>
      </c>
      <c r="B3" s="6" t="s">
        <v>21</v>
      </c>
      <c r="C3" s="7" t="s">
        <v>22</v>
      </c>
      <c r="D3" s="7" t="s">
        <v>23</v>
      </c>
      <c r="E3" s="8">
        <v>611955.53</v>
      </c>
      <c r="F3" s="9">
        <v>140</v>
      </c>
      <c r="G3" s="10">
        <v>383.01</v>
      </c>
      <c r="H3" s="9">
        <v>0</v>
      </c>
      <c r="I3" s="9">
        <v>3221.5</v>
      </c>
      <c r="J3" s="9">
        <v>26</v>
      </c>
      <c r="K3" s="9">
        <v>26</v>
      </c>
      <c r="L3" s="8">
        <v>611955.53</v>
      </c>
      <c r="M3" s="8">
        <v>611572.52</v>
      </c>
      <c r="N3" s="8">
        <v>2352202</v>
      </c>
      <c r="O3" s="8">
        <v>282837.52</v>
      </c>
      <c r="P3" s="9">
        <v>46.2475848326213</v>
      </c>
      <c r="Q3" s="11">
        <v>189.84091882663401</v>
      </c>
    </row>
    <row r="4" spans="1:17" ht="22.5" x14ac:dyDescent="0.25">
      <c r="A4" s="5" t="s">
        <v>17</v>
      </c>
      <c r="B4" s="6" t="s">
        <v>24</v>
      </c>
      <c r="C4" s="7" t="s">
        <v>25</v>
      </c>
      <c r="D4" s="7" t="s">
        <v>20</v>
      </c>
      <c r="E4" s="8">
        <v>-45210.41</v>
      </c>
      <c r="F4" s="9">
        <v>-365</v>
      </c>
      <c r="G4" s="10">
        <v>527.02</v>
      </c>
      <c r="H4" s="9">
        <v>0</v>
      </c>
      <c r="I4" s="9">
        <v>2044.5</v>
      </c>
      <c r="J4" s="9">
        <v>27</v>
      </c>
      <c r="K4" s="9">
        <v>27</v>
      </c>
      <c r="L4" s="8">
        <v>415779.88</v>
      </c>
      <c r="M4" s="8">
        <v>415252.86</v>
      </c>
      <c r="N4" s="8">
        <v>1537990.5</v>
      </c>
      <c r="O4" s="8">
        <v>189425.86</v>
      </c>
      <c r="P4" s="9">
        <v>45.616991054558902</v>
      </c>
      <c r="Q4" s="11">
        <v>203.10729273660999</v>
      </c>
    </row>
    <row r="5" spans="1:17" ht="33.75" x14ac:dyDescent="0.25">
      <c r="A5" s="5" t="s">
        <v>26</v>
      </c>
      <c r="B5" s="6" t="s">
        <v>27</v>
      </c>
      <c r="C5" s="7" t="s">
        <v>25</v>
      </c>
      <c r="D5" s="7" t="s">
        <v>23</v>
      </c>
      <c r="E5" s="8">
        <v>4595.05</v>
      </c>
      <c r="F5" s="9">
        <v>215.908288</v>
      </c>
      <c r="G5" s="10">
        <v>28697.91</v>
      </c>
      <c r="H5" s="9">
        <v>0</v>
      </c>
      <c r="I5" s="9">
        <v>12522</v>
      </c>
      <c r="J5" s="9">
        <v>26</v>
      </c>
      <c r="K5" s="9">
        <v>27</v>
      </c>
      <c r="L5" s="8">
        <v>2497354.75</v>
      </c>
      <c r="M5" s="8">
        <v>2468656.84</v>
      </c>
      <c r="N5" s="8">
        <v>9494834</v>
      </c>
      <c r="O5" s="8">
        <v>1252975.3400000001</v>
      </c>
      <c r="P5" s="9">
        <v>50.755346782017703</v>
      </c>
      <c r="Q5" s="11">
        <v>197.14557099504901</v>
      </c>
    </row>
    <row r="6" spans="1:17" ht="33.75" x14ac:dyDescent="0.25">
      <c r="A6" s="5" t="s">
        <v>17</v>
      </c>
      <c r="B6" s="6" t="s">
        <v>28</v>
      </c>
      <c r="C6" s="7" t="s">
        <v>22</v>
      </c>
      <c r="D6" s="7" t="s">
        <v>29</v>
      </c>
      <c r="E6" s="8">
        <v>166646.37</v>
      </c>
      <c r="F6" s="9">
        <v>88.361143999999996</v>
      </c>
      <c r="G6" s="10">
        <v>3590.85</v>
      </c>
      <c r="H6" s="9">
        <v>225870</v>
      </c>
      <c r="I6" s="9">
        <v>5756.5</v>
      </c>
      <c r="J6" s="9">
        <v>28</v>
      </c>
      <c r="K6" s="9">
        <v>29.7</v>
      </c>
      <c r="L6" s="8">
        <v>1179677.3700000001</v>
      </c>
      <c r="M6" s="8">
        <v>1176086.52</v>
      </c>
      <c r="N6" s="8">
        <v>4200309</v>
      </c>
      <c r="O6" s="8">
        <v>455909.52</v>
      </c>
      <c r="P6" s="9">
        <v>38.764964332726102</v>
      </c>
      <c r="Q6" s="11">
        <v>204.30583166854899</v>
      </c>
    </row>
    <row r="7" spans="1:17" ht="33.75" x14ac:dyDescent="0.25">
      <c r="A7" s="5" t="s">
        <v>17</v>
      </c>
      <c r="B7" s="6" t="s">
        <v>30</v>
      </c>
      <c r="C7" s="7" t="s">
        <v>22</v>
      </c>
      <c r="D7" s="7" t="s">
        <v>31</v>
      </c>
      <c r="E7" s="8">
        <v>216028.82</v>
      </c>
      <c r="F7" s="9">
        <v>35</v>
      </c>
      <c r="G7" s="10">
        <v>858.08</v>
      </c>
      <c r="H7" s="9">
        <v>0</v>
      </c>
      <c r="I7" s="9">
        <v>1214.7</v>
      </c>
      <c r="J7" s="9">
        <v>25</v>
      </c>
      <c r="K7" s="9">
        <v>25</v>
      </c>
      <c r="L7" s="8">
        <v>216028.82</v>
      </c>
      <c r="M7" s="8">
        <v>215170.74</v>
      </c>
      <c r="N7" s="8">
        <v>860682.98</v>
      </c>
      <c r="O7" s="8">
        <v>72481.97</v>
      </c>
      <c r="P7" s="9">
        <v>33.685792966088201</v>
      </c>
      <c r="Q7" s="11">
        <v>177.13899728327999</v>
      </c>
    </row>
    <row r="8" spans="1:17" ht="22.5" x14ac:dyDescent="0.25">
      <c r="A8" s="5" t="s">
        <v>17</v>
      </c>
      <c r="B8" s="6" t="s">
        <v>32</v>
      </c>
      <c r="C8" s="7" t="s">
        <v>25</v>
      </c>
      <c r="D8" s="7" t="s">
        <v>29</v>
      </c>
      <c r="E8" s="8">
        <v>-287015.64</v>
      </c>
      <c r="F8" s="9">
        <v>-192.222094</v>
      </c>
      <c r="G8" s="10">
        <v>7263.65</v>
      </c>
      <c r="H8" s="9">
        <v>0</v>
      </c>
      <c r="I8" s="9">
        <v>4023</v>
      </c>
      <c r="J8" s="9">
        <v>19</v>
      </c>
      <c r="K8" s="9">
        <v>19.100000000000001</v>
      </c>
      <c r="L8" s="8">
        <v>601015.36</v>
      </c>
      <c r="M8" s="8">
        <v>593751.71</v>
      </c>
      <c r="N8" s="8">
        <v>3125009</v>
      </c>
      <c r="O8" s="8">
        <v>25237.21</v>
      </c>
      <c r="P8" s="9">
        <v>4.2504652323443404</v>
      </c>
      <c r="Q8" s="11">
        <v>147.58928908774499</v>
      </c>
    </row>
    <row r="9" spans="1:17" ht="45" x14ac:dyDescent="0.25">
      <c r="A9" s="5" t="s">
        <v>33</v>
      </c>
      <c r="B9" s="6" t="s">
        <v>34</v>
      </c>
      <c r="C9" s="7" t="s">
        <v>22</v>
      </c>
      <c r="D9" s="7" t="s">
        <v>35</v>
      </c>
      <c r="E9" s="8">
        <f>B16-123400.51</f>
        <v>-123400.51</v>
      </c>
      <c r="F9" s="9">
        <v>76.095228000000006</v>
      </c>
      <c r="G9" s="10">
        <v>4656.7299999999996</v>
      </c>
      <c r="H9" s="9">
        <v>291769</v>
      </c>
      <c r="I9" s="9">
        <v>4353.2</v>
      </c>
      <c r="J9" s="9">
        <v>23</v>
      </c>
      <c r="K9" s="9">
        <v>23</v>
      </c>
      <c r="L9" s="8">
        <v>743902.49</v>
      </c>
      <c r="M9" s="8">
        <v>739245.76</v>
      </c>
      <c r="N9" s="8">
        <v>3214112</v>
      </c>
      <c r="O9" s="8">
        <v>286795.46000000002</v>
      </c>
      <c r="P9" s="9">
        <v>38.795685483539302</v>
      </c>
      <c r="Q9" s="11">
        <v>169.81663144353601</v>
      </c>
    </row>
    <row r="10" spans="1:17" ht="45" x14ac:dyDescent="0.25">
      <c r="A10" s="5" t="s">
        <v>33</v>
      </c>
      <c r="B10" s="6" t="s">
        <v>36</v>
      </c>
      <c r="C10" s="7" t="s">
        <v>25</v>
      </c>
      <c r="D10" s="7" t="s">
        <v>35</v>
      </c>
      <c r="E10" s="8">
        <v>-55510.85</v>
      </c>
      <c r="F10" s="9">
        <v>-219.029799</v>
      </c>
      <c r="G10" s="10">
        <v>11316.8</v>
      </c>
      <c r="H10" s="9">
        <v>0</v>
      </c>
      <c r="I10" s="9">
        <v>5918.5</v>
      </c>
      <c r="J10" s="9">
        <v>30</v>
      </c>
      <c r="K10" s="9">
        <v>30</v>
      </c>
      <c r="L10" s="8">
        <v>1348049.15</v>
      </c>
      <c r="M10" s="8">
        <v>1336732.3500000001</v>
      </c>
      <c r="N10" s="8">
        <v>4455774.5</v>
      </c>
      <c r="O10" s="8">
        <v>639482.65</v>
      </c>
      <c r="P10" s="9">
        <v>47.839243959346099</v>
      </c>
      <c r="Q10" s="11">
        <v>225.85661062769299</v>
      </c>
    </row>
    <row r="11" spans="1:17" ht="33.75" x14ac:dyDescent="0.25">
      <c r="A11" s="5" t="s">
        <v>17</v>
      </c>
      <c r="B11" s="12" t="s">
        <v>37</v>
      </c>
      <c r="C11" s="13" t="s">
        <v>22</v>
      </c>
      <c r="D11" s="7" t="s">
        <v>31</v>
      </c>
      <c r="E11" s="14">
        <v>1847414.13</v>
      </c>
      <c r="F11" s="15">
        <v>91</v>
      </c>
      <c r="G11" s="16">
        <v>10129.34</v>
      </c>
      <c r="H11" s="15">
        <v>0</v>
      </c>
      <c r="I11" s="15">
        <v>9220.5</v>
      </c>
      <c r="J11" s="15">
        <v>27</v>
      </c>
      <c r="K11" s="15">
        <v>27</v>
      </c>
      <c r="L11" s="14">
        <v>1847414.13</v>
      </c>
      <c r="M11" s="14">
        <v>1837284.79</v>
      </c>
      <c r="N11" s="14">
        <v>6804758.5</v>
      </c>
      <c r="O11" s="14">
        <v>931761.79</v>
      </c>
      <c r="P11" s="15">
        <v>50.714064312261598</v>
      </c>
      <c r="Q11" s="17">
        <v>199.260863293748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ingNewFolder">
                <anchor moveWithCells="1">
                  <from>
                    <xdr:col>0</xdr:col>
                    <xdr:colOff>19050</xdr:colOff>
                    <xdr:row>12</xdr:row>
                    <xdr:rowOff>57150</xdr:rowOff>
                  </from>
                  <to>
                    <xdr:col>1</xdr:col>
                    <xdr:colOff>485775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WorkBook">
                <anchor moveWithCells="1" sizeWithCells="1">
                  <from>
                    <xdr:col>1</xdr:col>
                    <xdr:colOff>600075</xdr:colOff>
                    <xdr:row>12</xdr:row>
                    <xdr:rowOff>66675</xdr:rowOff>
                  </from>
                  <to>
                    <xdr:col>3</xdr:col>
                    <xdr:colOff>57150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earchEngine">
                <anchor moveWithCells="1" sizeWithCells="1">
                  <from>
                    <xdr:col>3</xdr:col>
                    <xdr:colOff>152400</xdr:colOff>
                    <xdr:row>12</xdr:row>
                    <xdr:rowOff>66675</xdr:rowOff>
                  </from>
                  <to>
                    <xdr:col>5</xdr:col>
                    <xdr:colOff>419100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Data</vt:lpstr>
      <vt:lpstr>Sheet2</vt:lpstr>
      <vt:lpstr>Sheet3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</dc:creator>
  <cp:lastModifiedBy>James</cp:lastModifiedBy>
  <cp:lastPrinted>2020-03-14T17:35:42Z</cp:lastPrinted>
  <dcterms:created xsi:type="dcterms:W3CDTF">2020-03-14T17:24:28Z</dcterms:created>
  <dcterms:modified xsi:type="dcterms:W3CDTF">2020-03-14T22:08:25Z</dcterms:modified>
</cp:coreProperties>
</file>